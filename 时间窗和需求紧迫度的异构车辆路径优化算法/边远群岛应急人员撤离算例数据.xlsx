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28349\Desktop\时间窗和需求紧迫度的异构车辆路径优化算法\"/>
    </mc:Choice>
  </mc:AlternateContent>
  <xr:revisionPtr revIDLastSave="0" documentId="13_ncr:1_{BFA226BA-7282-41B1-9536-C659BDC0A095}" xr6:coauthVersionLast="47" xr6:coauthVersionMax="47" xr10:uidLastSave="{00000000-0000-0000-0000-000000000000}"/>
  <bookViews>
    <workbookView xWindow="-98" yWindow="-98" windowWidth="21795" windowHeight="12975" firstSheet="2" activeTab="2" xr2:uid="{00000000-000D-0000-FFFF-FFFF00000000}"/>
  </bookViews>
  <sheets>
    <sheet name="直升机，船只的参数设置" sheetId="1" r:id="rId1"/>
    <sheet name="各岛屿和安全集散中心的地理位置" sheetId="2" r:id="rId2"/>
    <sheet name="各岛屿人员设置" sheetId="6" r:id="rId3"/>
    <sheet name="需求紧迫度用SPSSAU计算数据与过程" sheetId="4" r:id="rId4"/>
    <sheet name="时间满意度需要的数据" sheetId="5" r:id="rId5"/>
  </sheets>
  <calcPr calcId="191029"/>
</workbook>
</file>

<file path=xl/calcChain.xml><?xml version="1.0" encoding="utf-8"?>
<calcChain xmlns="http://schemas.openxmlformats.org/spreadsheetml/2006/main">
  <c r="B12" i="6" l="1"/>
  <c r="C12" i="6"/>
  <c r="D12" i="6"/>
  <c r="E12" i="6"/>
  <c r="J12" i="4"/>
  <c r="J11" i="4"/>
  <c r="J10" i="4"/>
  <c r="J9" i="4"/>
  <c r="J8" i="4"/>
  <c r="J7" i="4"/>
  <c r="J6" i="4"/>
  <c r="J5" i="4"/>
  <c r="J4" i="4"/>
  <c r="J3" i="4"/>
  <c r="J118" i="4"/>
  <c r="J117" i="4"/>
  <c r="J116" i="4"/>
  <c r="J115" i="4"/>
  <c r="J114" i="4"/>
  <c r="J113" i="4"/>
  <c r="J112" i="4"/>
  <c r="J111" i="4"/>
  <c r="J110" i="4"/>
  <c r="J109" i="4"/>
  <c r="D16" i="5"/>
  <c r="D15" i="5"/>
  <c r="C105" i="4"/>
  <c r="C104" i="4"/>
  <c r="C103" i="4"/>
  <c r="C102" i="4"/>
  <c r="C101" i="4"/>
  <c r="C100" i="4"/>
  <c r="C99" i="4"/>
  <c r="C98" i="4"/>
  <c r="C97" i="4"/>
  <c r="C96" i="4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<sst xmlns="http://schemas.openxmlformats.org/spreadsheetml/2006/main" count="164" uniqueCount="77">
  <si>
    <t>承载量（伤员）</t>
  </si>
  <si>
    <t>运行速度</t>
  </si>
  <si>
    <t>单位时间成本(/h)</t>
  </si>
  <si>
    <t>直升机</t>
  </si>
  <si>
    <t>10人</t>
  </si>
  <si>
    <t>150km/h</t>
  </si>
  <si>
    <t>船只</t>
  </si>
  <si>
    <t>80人</t>
  </si>
  <si>
    <t>30km/h</t>
  </si>
  <si>
    <t>本文为小范围模型，使用局部平面坐标系（单位：km），设定安全集散中心为原点（0，0）</t>
  </si>
  <si>
    <t>岛屿名称</t>
  </si>
  <si>
    <t>经度（km)</t>
  </si>
  <si>
    <t>纬度(km)</t>
  </si>
  <si>
    <t>距安全集散中心的距离（km）</t>
  </si>
  <si>
    <t>岛1</t>
  </si>
  <si>
    <t>岛2</t>
  </si>
  <si>
    <t>岛3</t>
  </si>
  <si>
    <t>岛4</t>
  </si>
  <si>
    <t>岛5</t>
  </si>
  <si>
    <t>岛6</t>
  </si>
  <si>
    <t>岛7</t>
  </si>
  <si>
    <t>岛8</t>
  </si>
  <si>
    <t>岛9</t>
  </si>
  <si>
    <t>岛10</t>
  </si>
  <si>
    <t>重伤人数</t>
  </si>
  <si>
    <t>轻伤人数</t>
  </si>
  <si>
    <t>无伤人数</t>
  </si>
  <si>
    <t>总人数</t>
  </si>
  <si>
    <t>基础数据</t>
  </si>
  <si>
    <r>
      <rPr>
        <sz val="11"/>
        <color theme="1"/>
        <rFont val="宋体"/>
        <charset val="134"/>
        <scheme val="minor"/>
      </rPr>
      <t>受灾区域面积（</t>
    </r>
    <r>
      <rPr>
        <sz val="11"/>
        <color theme="1"/>
        <rFont val="宋体"/>
        <charset val="134"/>
      </rPr>
      <t>㎢</t>
    </r>
    <r>
      <rPr>
        <sz val="11"/>
        <color theme="1"/>
        <rFont val="宋体"/>
        <charset val="134"/>
        <scheme val="minor"/>
      </rPr>
      <t>）</t>
    </r>
  </si>
  <si>
    <t>再次地质灾害风险等级（1-5级）</t>
  </si>
  <si>
    <t>基础设施损坏率（%）</t>
  </si>
  <si>
    <t>对医疗物资需求率（%）</t>
  </si>
  <si>
    <t>对生活用品需求率（%）</t>
  </si>
  <si>
    <t>1.对无伤人数进行倒数处理</t>
  </si>
  <si>
    <t>2.无量纲化处理：归一化处理</t>
  </si>
  <si>
    <t>MMS_受灾区域面积（㎢）</t>
  </si>
  <si>
    <t>MMS_再次地质灾害风险等级（1-5级）</t>
  </si>
  <si>
    <t>MMS_基础设施损坏率（%）</t>
  </si>
  <si>
    <t>MMS_重伤人数</t>
  </si>
  <si>
    <t>MMS_轻伤人数</t>
  </si>
  <si>
    <t>MMS_无伤人数</t>
  </si>
  <si>
    <t>MMS_对医疗物资需求率（%）</t>
  </si>
  <si>
    <t>MMS_对生活用品需求率（%）</t>
  </si>
  <si>
    <t>3.描述统计</t>
  </si>
  <si>
    <t>指标</t>
  </si>
  <si>
    <t>样本量</t>
  </si>
  <si>
    <t>平均值</t>
  </si>
  <si>
    <t>标准差</t>
  </si>
  <si>
    <r>
      <t>4.CRITIC权重计算结果</t>
    </r>
    <r>
      <rPr>
        <sz val="12"/>
        <rFont val="Times New Roman"/>
        <family val="1"/>
      </rPr>
      <t> </t>
    </r>
  </si>
  <si>
    <t>指标变异性</t>
  </si>
  <si>
    <t>指标冲突性</t>
  </si>
  <si>
    <t>信息量</t>
  </si>
  <si>
    <t>权重</t>
  </si>
  <si>
    <t>11.1214%</t>
  </si>
  <si>
    <t>13.2459%</t>
  </si>
  <si>
    <t>17.6036%</t>
  </si>
  <si>
    <t>10.4574%</t>
  </si>
  <si>
    <t>10.5734%</t>
  </si>
  <si>
    <t>17.6521%</t>
  </si>
  <si>
    <t>8.6121%</t>
  </si>
  <si>
    <t>10.7340%</t>
  </si>
  <si>
    <r>
      <t>CRITIC</t>
    </r>
    <r>
      <rPr>
        <sz val="10"/>
        <rFont val="宋体"/>
        <charset val="134"/>
      </rPr>
      <t>权重法综合得分</t>
    </r>
  </si>
  <si>
    <t>相对需求紧迫度</t>
  </si>
  <si>
    <t>期望阈值（h）</t>
  </si>
  <si>
    <t>等待阶段的时间转折阈值（h）</t>
  </si>
  <si>
    <t>绝望阈值（h）</t>
  </si>
  <si>
    <t>等待阶段时间点对应的满意度值</t>
  </si>
  <si>
    <t>前期衰减系数</t>
  </si>
  <si>
    <t>后期衰减系数</t>
  </si>
  <si>
    <t>安全集散中心</t>
  </si>
  <si>
    <t>车辆名称</t>
  </si>
  <si>
    <t>最小时间满意度成本</t>
  </si>
  <si>
    <t>最大时间满意度成本</t>
  </si>
  <si>
    <t>等待时间转折点对应的时间成本</t>
  </si>
  <si>
    <t>船舶</t>
  </si>
  <si>
    <t>安全集散中心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</si>
</sst>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￥&quot;#,##0.00_);[Red]\(&quot;￥&quot;#,##0.00\)"/>
    <numFmt numFmtId="177" formatCode="0.00_ "/>
  </numFmts>
  <fonts count="9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Arial"/>
    </font>
    <font>
      <sz val="12"/>
      <name val="宋体"/>
      <charset val="134"/>
    </font>
    <font>
      <sz val="12"/>
      <name val="Times New Roman"/>
      <family val="1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2" xfId="0" applyFont="1" applyBorder="1" applyAlignment="1">
      <alignment horizontal="center" vertical="center"/>
    </xf>
    <xf numFmtId="10" fontId="2" fillId="0" borderId="0" xfId="1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0" fontId="2" fillId="0" borderId="5" xfId="1" applyNumberFormat="1" applyFont="1" applyFill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/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1109980</xdr:colOff>
      <xdr:row>69</xdr:row>
      <xdr:rowOff>0</xdr:rowOff>
    </xdr:from>
    <xdr:to>
      <xdr:col>3</xdr:col>
      <xdr:colOff>19685</xdr:colOff>
      <xdr:row>91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2521" r="13093"/>
        <a:stretch>
          <a:fillRect/>
        </a:stretch>
      </xdr:blipFill>
      <xdr:spPr>
        <a:xfrm>
          <a:off x="1109980" y="12696825"/>
          <a:ext cx="6588760" cy="381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opLeftCell="A4" workbookViewId="0">
      <selection activeCell="B2" sqref="B2"/>
    </sheetView>
  </sheetViews>
  <sheetFormatPr defaultColWidth="9" defaultRowHeight="13.5" x14ac:dyDescent="0.3"/>
  <cols>
    <col min="2" max="2" width="15.59765625" customWidth="1"/>
    <col min="3" max="3" width="9.265625" customWidth="1"/>
    <col min="4" max="4" width="17.929687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1" t="s">
        <v>4</v>
      </c>
      <c r="C2" s="1" t="s">
        <v>5</v>
      </c>
      <c r="D2" s="2">
        <v>1200</v>
      </c>
    </row>
    <row r="3" spans="1:4" x14ac:dyDescent="0.3">
      <c r="A3" s="1" t="s">
        <v>6</v>
      </c>
      <c r="B3" s="1" t="s">
        <v>7</v>
      </c>
      <c r="C3" s="1" t="s">
        <v>8</v>
      </c>
      <c r="D3" s="2">
        <v>400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activeCell="D11" sqref="D11"/>
    </sheetView>
  </sheetViews>
  <sheetFormatPr defaultColWidth="9" defaultRowHeight="13.5" x14ac:dyDescent="0.3"/>
  <cols>
    <col min="1" max="1" width="9.265625" customWidth="1"/>
    <col min="2" max="2" width="10.33203125" customWidth="1"/>
    <col min="3" max="3" width="9.3984375" customWidth="1"/>
    <col min="4" max="4" width="28.6640625" customWidth="1"/>
  </cols>
  <sheetData>
    <row r="1" spans="1:9" x14ac:dyDescent="0.3">
      <c r="A1" s="30" t="s">
        <v>9</v>
      </c>
      <c r="B1" s="30"/>
      <c r="C1" s="30"/>
      <c r="D1" s="30"/>
      <c r="E1" s="30"/>
      <c r="F1" s="30"/>
      <c r="G1" s="30"/>
      <c r="H1" s="30"/>
      <c r="I1" s="30"/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/>
      <c r="F2" s="1"/>
      <c r="G2" s="1"/>
      <c r="H2" s="1"/>
      <c r="I2" s="1"/>
    </row>
    <row r="3" spans="1:9" x14ac:dyDescent="0.3">
      <c r="A3" s="1" t="s">
        <v>14</v>
      </c>
      <c r="B3" s="1">
        <v>12</v>
      </c>
      <c r="C3" s="1">
        <v>0</v>
      </c>
      <c r="D3" s="1">
        <v>12</v>
      </c>
      <c r="E3" s="1"/>
      <c r="F3" s="1"/>
      <c r="G3" s="1"/>
      <c r="H3" s="1"/>
      <c r="I3" s="1"/>
    </row>
    <row r="4" spans="1:9" x14ac:dyDescent="0.3">
      <c r="A4" s="1" t="s">
        <v>15</v>
      </c>
      <c r="B4" s="1">
        <v>0</v>
      </c>
      <c r="C4" s="1">
        <v>25</v>
      </c>
      <c r="D4" s="1">
        <v>25</v>
      </c>
      <c r="E4" s="1"/>
      <c r="F4" s="1"/>
      <c r="G4" s="1"/>
      <c r="H4" s="1"/>
      <c r="I4" s="1"/>
    </row>
    <row r="5" spans="1:9" x14ac:dyDescent="0.3">
      <c r="A5" s="1" t="s">
        <v>16</v>
      </c>
      <c r="B5" s="1">
        <v>15</v>
      </c>
      <c r="C5" s="1">
        <v>18</v>
      </c>
      <c r="D5" s="1">
        <v>23.4</v>
      </c>
      <c r="E5" s="1"/>
      <c r="F5" s="1"/>
      <c r="G5" s="1"/>
      <c r="H5" s="1"/>
      <c r="I5" s="1"/>
    </row>
    <row r="6" spans="1:9" x14ac:dyDescent="0.3">
      <c r="A6" s="1" t="s">
        <v>17</v>
      </c>
      <c r="B6" s="1">
        <v>-5</v>
      </c>
      <c r="C6" s="1">
        <v>30</v>
      </c>
      <c r="D6" s="1">
        <v>30.4</v>
      </c>
      <c r="E6" s="1"/>
      <c r="F6" s="1"/>
      <c r="G6" s="1"/>
      <c r="H6" s="1"/>
      <c r="I6" s="1"/>
    </row>
    <row r="7" spans="1:9" x14ac:dyDescent="0.3">
      <c r="A7" s="1" t="s">
        <v>18</v>
      </c>
      <c r="B7" s="1">
        <v>20</v>
      </c>
      <c r="C7" s="1">
        <v>15</v>
      </c>
      <c r="D7" s="1">
        <v>25</v>
      </c>
      <c r="E7" s="1"/>
      <c r="F7" s="1"/>
      <c r="G7" s="1"/>
      <c r="H7" s="1"/>
      <c r="I7" s="1"/>
    </row>
    <row r="8" spans="1:9" x14ac:dyDescent="0.3">
      <c r="A8" s="1" t="s">
        <v>19</v>
      </c>
      <c r="B8" s="1">
        <v>-8</v>
      </c>
      <c r="C8" s="1">
        <v>20</v>
      </c>
      <c r="D8" s="1">
        <v>21.5</v>
      </c>
      <c r="E8" s="1"/>
      <c r="F8" s="1"/>
      <c r="G8" s="1"/>
      <c r="H8" s="1"/>
      <c r="I8" s="1"/>
    </row>
    <row r="9" spans="1:9" x14ac:dyDescent="0.3">
      <c r="A9" s="1" t="s">
        <v>20</v>
      </c>
      <c r="B9" s="1">
        <v>10</v>
      </c>
      <c r="C9" s="1">
        <v>30</v>
      </c>
      <c r="D9" s="1">
        <v>31.6</v>
      </c>
      <c r="E9" s="1"/>
      <c r="F9" s="1"/>
      <c r="G9" s="1"/>
      <c r="H9" s="1"/>
      <c r="I9" s="1"/>
    </row>
    <row r="10" spans="1:9" x14ac:dyDescent="0.3">
      <c r="A10" s="1" t="s">
        <v>21</v>
      </c>
      <c r="B10" s="1">
        <v>-15</v>
      </c>
      <c r="C10" s="1">
        <v>10</v>
      </c>
      <c r="D10" s="1">
        <v>18</v>
      </c>
      <c r="E10" s="1"/>
      <c r="F10" s="1"/>
      <c r="G10" s="1"/>
      <c r="H10" s="1"/>
      <c r="I10" s="1"/>
    </row>
    <row r="11" spans="1:9" x14ac:dyDescent="0.3">
      <c r="A11" s="1" t="s">
        <v>22</v>
      </c>
      <c r="B11" s="1">
        <v>5</v>
      </c>
      <c r="C11" s="1">
        <v>35</v>
      </c>
      <c r="D11" s="1">
        <v>35.4</v>
      </c>
      <c r="E11" s="1"/>
      <c r="F11" s="1"/>
      <c r="G11" s="1"/>
      <c r="H11" s="1"/>
      <c r="I11" s="1"/>
    </row>
    <row r="12" spans="1:9" x14ac:dyDescent="0.3">
      <c r="A12" s="1" t="s">
        <v>23</v>
      </c>
      <c r="B12" s="1">
        <v>25</v>
      </c>
      <c r="C12" s="1">
        <v>5</v>
      </c>
      <c r="D12" s="1">
        <v>25.5</v>
      </c>
      <c r="E12" s="1"/>
      <c r="F12" s="1"/>
      <c r="G12" s="1"/>
      <c r="H12" s="1"/>
      <c r="I12" s="1"/>
    </row>
    <row r="13" spans="1:9" x14ac:dyDescent="0.3">
      <c r="A13" s="1" t="s">
        <v>76</v>
      </c>
      <c r="B13" s="1">
        <v>0</v>
      </c>
      <c r="C13" s="1">
        <v>0</v>
      </c>
    </row>
  </sheetData>
  <mergeCells count="1">
    <mergeCell ref="A1:I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abSelected="1" workbookViewId="0">
      <selection activeCell="E12" sqref="B12:E12"/>
    </sheetView>
  </sheetViews>
  <sheetFormatPr defaultColWidth="9" defaultRowHeight="13.5" x14ac:dyDescent="0.3"/>
  <sheetData>
    <row r="1" spans="1:5" x14ac:dyDescent="0.3">
      <c r="A1" t="s">
        <v>10</v>
      </c>
      <c r="B1" s="5" t="s">
        <v>24</v>
      </c>
      <c r="C1" s="5" t="s">
        <v>25</v>
      </c>
      <c r="D1" s="5" t="s">
        <v>26</v>
      </c>
      <c r="E1" t="s">
        <v>27</v>
      </c>
    </row>
    <row r="2" spans="1:5" x14ac:dyDescent="0.3">
      <c r="A2" t="s">
        <v>14</v>
      </c>
      <c r="B2" s="1">
        <v>8</v>
      </c>
      <c r="C2" s="1">
        <v>15</v>
      </c>
      <c r="D2" s="1">
        <v>42</v>
      </c>
      <c r="E2">
        <f>B2+C2+D2</f>
        <v>65</v>
      </c>
    </row>
    <row r="3" spans="1:5" x14ac:dyDescent="0.3">
      <c r="A3" t="s">
        <v>15</v>
      </c>
      <c r="B3" s="1">
        <v>5</v>
      </c>
      <c r="C3" s="1">
        <v>12</v>
      </c>
      <c r="D3" s="1">
        <v>33</v>
      </c>
      <c r="E3">
        <f t="shared" ref="E3:E11" si="0">B3+C3+D3</f>
        <v>50</v>
      </c>
    </row>
    <row r="4" spans="1:5" x14ac:dyDescent="0.3">
      <c r="A4" t="s">
        <v>16</v>
      </c>
      <c r="B4" s="1">
        <v>12</v>
      </c>
      <c r="C4" s="1">
        <v>20</v>
      </c>
      <c r="D4" s="1">
        <v>58</v>
      </c>
      <c r="E4">
        <f t="shared" si="0"/>
        <v>90</v>
      </c>
    </row>
    <row r="5" spans="1:5" x14ac:dyDescent="0.3">
      <c r="A5" t="s">
        <v>17</v>
      </c>
      <c r="B5" s="1">
        <v>3</v>
      </c>
      <c r="C5" s="1">
        <v>7</v>
      </c>
      <c r="D5" s="1">
        <v>15</v>
      </c>
      <c r="E5">
        <f t="shared" si="0"/>
        <v>25</v>
      </c>
    </row>
    <row r="6" spans="1:5" x14ac:dyDescent="0.3">
      <c r="A6" t="s">
        <v>18</v>
      </c>
      <c r="B6" s="1">
        <v>6</v>
      </c>
      <c r="C6" s="1">
        <v>10</v>
      </c>
      <c r="D6" s="1">
        <v>34</v>
      </c>
      <c r="E6">
        <f t="shared" si="0"/>
        <v>50</v>
      </c>
    </row>
    <row r="7" spans="1:5" x14ac:dyDescent="0.3">
      <c r="A7" t="s">
        <v>19</v>
      </c>
      <c r="B7" s="1">
        <v>4</v>
      </c>
      <c r="C7" s="1">
        <v>8</v>
      </c>
      <c r="D7" s="1">
        <v>28</v>
      </c>
      <c r="E7">
        <f t="shared" si="0"/>
        <v>40</v>
      </c>
    </row>
    <row r="8" spans="1:5" x14ac:dyDescent="0.3">
      <c r="A8" t="s">
        <v>20</v>
      </c>
      <c r="B8" s="1">
        <v>10</v>
      </c>
      <c r="C8" s="1">
        <v>18</v>
      </c>
      <c r="D8" s="1">
        <v>52</v>
      </c>
      <c r="E8">
        <f t="shared" si="0"/>
        <v>80</v>
      </c>
    </row>
    <row r="9" spans="1:5" x14ac:dyDescent="0.3">
      <c r="A9" t="s">
        <v>21</v>
      </c>
      <c r="B9" s="1">
        <v>2</v>
      </c>
      <c r="C9" s="1">
        <v>5</v>
      </c>
      <c r="D9" s="1">
        <v>18</v>
      </c>
      <c r="E9">
        <f t="shared" si="0"/>
        <v>25</v>
      </c>
    </row>
    <row r="10" spans="1:5" x14ac:dyDescent="0.3">
      <c r="A10" t="s">
        <v>22</v>
      </c>
      <c r="B10" s="1">
        <v>7</v>
      </c>
      <c r="C10" s="1">
        <v>13</v>
      </c>
      <c r="D10" s="1">
        <v>40</v>
      </c>
      <c r="E10">
        <f t="shared" si="0"/>
        <v>60</v>
      </c>
    </row>
    <row r="11" spans="1:5" x14ac:dyDescent="0.3">
      <c r="A11" t="s">
        <v>23</v>
      </c>
      <c r="B11" s="8">
        <v>9</v>
      </c>
      <c r="C11" s="8">
        <v>16</v>
      </c>
      <c r="D11" s="8">
        <v>45</v>
      </c>
      <c r="E11">
        <f t="shared" si="0"/>
        <v>70</v>
      </c>
    </row>
    <row r="12" spans="1:5" x14ac:dyDescent="0.3">
      <c r="B12">
        <f t="shared" ref="B12:D12" si="1">SUM(B2:B11)</f>
        <v>66</v>
      </c>
      <c r="C12">
        <f t="shared" si="1"/>
        <v>124</v>
      </c>
      <c r="D12">
        <f t="shared" si="1"/>
        <v>365</v>
      </c>
      <c r="E12">
        <f>SUM(E2:E11)</f>
        <v>555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9"/>
  <sheetViews>
    <sheetView topLeftCell="B80" zoomScale="54" zoomScaleNormal="32" workbookViewId="0">
      <selection activeCell="L103" sqref="L103"/>
    </sheetView>
  </sheetViews>
  <sheetFormatPr defaultColWidth="9" defaultRowHeight="13.5" x14ac:dyDescent="0.3"/>
  <cols>
    <col min="1" max="1" width="39.6640625" customWidth="1"/>
    <col min="2" max="2" width="35.3984375" customWidth="1"/>
    <col min="3" max="3" width="31.9296875" customWidth="1"/>
    <col min="4" max="4" width="21.06640625" customWidth="1"/>
    <col min="5" max="6" width="14.3984375" customWidth="1"/>
    <col min="7" max="8" width="28.265625" customWidth="1"/>
    <col min="9" max="9" width="23.19921875" customWidth="1"/>
  </cols>
  <sheetData>
    <row r="1" spans="1:10" ht="13.9" thickBot="1" x14ac:dyDescent="0.35">
      <c r="A1" s="30" t="s">
        <v>28</v>
      </c>
      <c r="B1" s="30"/>
      <c r="C1" s="30"/>
      <c r="D1" s="30"/>
      <c r="E1" s="30"/>
      <c r="F1" s="30"/>
      <c r="G1" s="30"/>
      <c r="H1" s="30"/>
      <c r="I1" s="30"/>
    </row>
    <row r="2" spans="1:10" ht="14.25" thickTop="1" thickBot="1" x14ac:dyDescent="0.35">
      <c r="A2" s="4" t="s">
        <v>10</v>
      </c>
      <c r="B2" s="5" t="s">
        <v>29</v>
      </c>
      <c r="C2" s="5" t="s">
        <v>30</v>
      </c>
      <c r="D2" s="5" t="s">
        <v>31</v>
      </c>
      <c r="E2" s="5" t="s">
        <v>24</v>
      </c>
      <c r="F2" s="5" t="s">
        <v>25</v>
      </c>
      <c r="G2" s="5" t="s">
        <v>26</v>
      </c>
      <c r="H2" s="5" t="s">
        <v>32</v>
      </c>
      <c r="I2" s="5" t="s">
        <v>33</v>
      </c>
      <c r="J2" s="10" t="s">
        <v>63</v>
      </c>
    </row>
    <row r="3" spans="1:10" ht="13.9" thickTop="1" x14ac:dyDescent="0.3">
      <c r="A3" s="6" t="s">
        <v>14</v>
      </c>
      <c r="B3" s="1">
        <v>3.2</v>
      </c>
      <c r="C3" s="1">
        <v>3</v>
      </c>
      <c r="D3" s="1">
        <v>40</v>
      </c>
      <c r="E3" s="1">
        <v>8</v>
      </c>
      <c r="F3" s="1">
        <v>15</v>
      </c>
      <c r="G3" s="1">
        <v>42</v>
      </c>
      <c r="H3" s="1">
        <v>18.5</v>
      </c>
      <c r="I3" s="1">
        <v>23.1</v>
      </c>
      <c r="J3" s="26">
        <f>I3/I7</f>
        <v>1.05</v>
      </c>
    </row>
    <row r="4" spans="1:10" x14ac:dyDescent="0.3">
      <c r="A4" s="6" t="s">
        <v>15</v>
      </c>
      <c r="B4" s="1">
        <v>1.8</v>
      </c>
      <c r="C4" s="1">
        <v>4</v>
      </c>
      <c r="D4" s="1">
        <v>65</v>
      </c>
      <c r="E4" s="1">
        <v>5</v>
      </c>
      <c r="F4" s="1">
        <v>12</v>
      </c>
      <c r="G4" s="1">
        <v>33</v>
      </c>
      <c r="H4" s="1">
        <v>16</v>
      </c>
      <c r="I4" s="1">
        <v>20</v>
      </c>
      <c r="J4" s="26">
        <f>I4/I7</f>
        <v>0.90909090909090906</v>
      </c>
    </row>
    <row r="5" spans="1:10" x14ac:dyDescent="0.3">
      <c r="A5" s="6" t="s">
        <v>16</v>
      </c>
      <c r="B5" s="1">
        <v>5</v>
      </c>
      <c r="C5" s="1">
        <v>2</v>
      </c>
      <c r="D5" s="1">
        <v>25</v>
      </c>
      <c r="E5" s="1">
        <v>12</v>
      </c>
      <c r="F5" s="1">
        <v>20</v>
      </c>
      <c r="G5" s="1">
        <v>58</v>
      </c>
      <c r="H5" s="1">
        <v>22.2</v>
      </c>
      <c r="I5" s="1">
        <v>27.8</v>
      </c>
      <c r="J5" s="26">
        <f>I5/I7</f>
        <v>1.2636363636363637</v>
      </c>
    </row>
    <row r="6" spans="1:10" x14ac:dyDescent="0.3">
      <c r="A6" s="6" t="s">
        <v>17</v>
      </c>
      <c r="B6" s="1">
        <v>0.7</v>
      </c>
      <c r="C6" s="1">
        <v>5</v>
      </c>
      <c r="D6" s="1">
        <v>80</v>
      </c>
      <c r="E6" s="1">
        <v>3</v>
      </c>
      <c r="F6" s="1">
        <v>7</v>
      </c>
      <c r="G6" s="1">
        <v>15</v>
      </c>
      <c r="H6" s="1">
        <v>16</v>
      </c>
      <c r="I6" s="1">
        <v>24</v>
      </c>
      <c r="J6" s="26">
        <f>I6/I7</f>
        <v>1.0909090909090908</v>
      </c>
    </row>
    <row r="7" spans="1:10" x14ac:dyDescent="0.3">
      <c r="A7" s="6" t="s">
        <v>18</v>
      </c>
      <c r="B7" s="1">
        <v>2.5</v>
      </c>
      <c r="C7" s="1">
        <v>1</v>
      </c>
      <c r="D7" s="1">
        <v>30</v>
      </c>
      <c r="E7" s="1">
        <v>6</v>
      </c>
      <c r="F7" s="1">
        <v>10</v>
      </c>
      <c r="G7" s="1">
        <v>34</v>
      </c>
      <c r="H7" s="1">
        <v>18</v>
      </c>
      <c r="I7" s="1">
        <v>22</v>
      </c>
      <c r="J7" s="26">
        <f>I7/I7</f>
        <v>1</v>
      </c>
    </row>
    <row r="8" spans="1:10" x14ac:dyDescent="0.3">
      <c r="A8" s="6" t="s">
        <v>19</v>
      </c>
      <c r="B8" s="1">
        <v>1.2</v>
      </c>
      <c r="C8" s="1">
        <v>3</v>
      </c>
      <c r="D8" s="1">
        <v>50</v>
      </c>
      <c r="E8" s="1">
        <v>4</v>
      </c>
      <c r="F8" s="1">
        <v>8</v>
      </c>
      <c r="G8" s="1">
        <v>28</v>
      </c>
      <c r="H8" s="1">
        <v>16.3</v>
      </c>
      <c r="I8" s="1">
        <v>25</v>
      </c>
      <c r="J8" s="26">
        <f>I8/I7</f>
        <v>1.1363636363636365</v>
      </c>
    </row>
    <row r="9" spans="1:10" x14ac:dyDescent="0.3">
      <c r="A9" s="6" t="s">
        <v>20</v>
      </c>
      <c r="B9" s="1">
        <v>4.2</v>
      </c>
      <c r="C9" s="1">
        <v>3</v>
      </c>
      <c r="D9" s="1">
        <v>35</v>
      </c>
      <c r="E9" s="1">
        <v>10</v>
      </c>
      <c r="F9" s="1">
        <v>18</v>
      </c>
      <c r="G9" s="1">
        <v>52</v>
      </c>
      <c r="H9" s="1">
        <v>18.8</v>
      </c>
      <c r="I9" s="1">
        <v>26.3</v>
      </c>
      <c r="J9" s="26">
        <f>I9/I7</f>
        <v>1.1954545454545455</v>
      </c>
    </row>
    <row r="10" spans="1:10" x14ac:dyDescent="0.3">
      <c r="A10" s="6" t="s">
        <v>21</v>
      </c>
      <c r="B10" s="1">
        <v>0.5</v>
      </c>
      <c r="C10" s="1">
        <v>4</v>
      </c>
      <c r="D10" s="1">
        <v>70</v>
      </c>
      <c r="E10" s="1">
        <v>2</v>
      </c>
      <c r="F10" s="1">
        <v>5</v>
      </c>
      <c r="G10" s="1">
        <v>18</v>
      </c>
      <c r="H10" s="1">
        <v>12</v>
      </c>
      <c r="I10" s="1">
        <v>20</v>
      </c>
      <c r="J10" s="26">
        <f>I10/I7</f>
        <v>0.90909090909090906</v>
      </c>
    </row>
    <row r="11" spans="1:10" x14ac:dyDescent="0.3">
      <c r="A11" s="6" t="s">
        <v>22</v>
      </c>
      <c r="B11" s="1">
        <v>2.8</v>
      </c>
      <c r="C11" s="1">
        <v>2</v>
      </c>
      <c r="D11" s="1">
        <v>45</v>
      </c>
      <c r="E11" s="1">
        <v>7</v>
      </c>
      <c r="F11" s="1">
        <v>13</v>
      </c>
      <c r="G11" s="1">
        <v>40</v>
      </c>
      <c r="H11" s="1">
        <v>17.5</v>
      </c>
      <c r="I11" s="1">
        <v>25</v>
      </c>
      <c r="J11" s="27">
        <f>I11/I7</f>
        <v>1.1363636363636365</v>
      </c>
    </row>
    <row r="12" spans="1:10" ht="13.9" thickBot="1" x14ac:dyDescent="0.35">
      <c r="A12" s="7" t="s">
        <v>23</v>
      </c>
      <c r="B12" s="8">
        <v>3.5</v>
      </c>
      <c r="C12" s="8">
        <v>3</v>
      </c>
      <c r="D12" s="8">
        <v>38</v>
      </c>
      <c r="E12" s="8">
        <v>9</v>
      </c>
      <c r="F12" s="8">
        <v>16</v>
      </c>
      <c r="G12" s="8">
        <v>45</v>
      </c>
      <c r="H12" s="8">
        <v>19.3</v>
      </c>
      <c r="I12" s="8">
        <v>25.7</v>
      </c>
      <c r="J12" s="29">
        <f>I12/I7</f>
        <v>1.1681818181818182</v>
      </c>
    </row>
    <row r="13" spans="1:10" ht="13.9" thickTop="1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10" x14ac:dyDescent="0.3">
      <c r="A15" s="9" t="s">
        <v>34</v>
      </c>
      <c r="B15" s="1"/>
      <c r="C15" s="1"/>
      <c r="D15" s="1"/>
      <c r="E15" s="1"/>
      <c r="F15" s="1"/>
      <c r="G15" s="1"/>
      <c r="H15" s="1"/>
      <c r="I15" s="1"/>
    </row>
    <row r="16" spans="1:10" x14ac:dyDescent="0.3">
      <c r="A16" s="10" t="s">
        <v>26</v>
      </c>
    </row>
    <row r="17" spans="1:8" s="1" customFormat="1" x14ac:dyDescent="0.3">
      <c r="A17" s="11">
        <v>2.3809523809523801E-2</v>
      </c>
    </row>
    <row r="18" spans="1:8" s="1" customFormat="1" x14ac:dyDescent="0.3">
      <c r="A18" s="11">
        <v>3.03030303030303E-2</v>
      </c>
    </row>
    <row r="19" spans="1:8" s="1" customFormat="1" x14ac:dyDescent="0.3">
      <c r="A19" s="11">
        <v>1.72413793103448E-2</v>
      </c>
    </row>
    <row r="20" spans="1:8" s="1" customFormat="1" x14ac:dyDescent="0.3">
      <c r="A20" s="11">
        <v>6.6666666666666693E-2</v>
      </c>
    </row>
    <row r="21" spans="1:8" s="1" customFormat="1" x14ac:dyDescent="0.3">
      <c r="A21" s="11">
        <v>2.9411764705882401E-2</v>
      </c>
    </row>
    <row r="22" spans="1:8" s="1" customFormat="1" x14ac:dyDescent="0.3">
      <c r="A22" s="11">
        <v>3.5714285714285698E-2</v>
      </c>
    </row>
    <row r="23" spans="1:8" s="1" customFormat="1" x14ac:dyDescent="0.3">
      <c r="A23" s="11">
        <v>1.9230769230769201E-2</v>
      </c>
    </row>
    <row r="24" spans="1:8" s="1" customFormat="1" x14ac:dyDescent="0.3">
      <c r="A24" s="11">
        <v>5.5555555555555601E-2</v>
      </c>
    </row>
    <row r="25" spans="1:8" s="1" customFormat="1" x14ac:dyDescent="0.3">
      <c r="A25" s="11">
        <v>2.5000000000000001E-2</v>
      </c>
    </row>
    <row r="26" spans="1:8" s="1" customFormat="1" x14ac:dyDescent="0.3">
      <c r="A26" s="12">
        <v>2.2222222222222199E-2</v>
      </c>
    </row>
    <row r="27" spans="1:8" s="1" customFormat="1" x14ac:dyDescent="0.3"/>
    <row r="28" spans="1:8" s="1" customFormat="1" x14ac:dyDescent="0.3"/>
    <row r="29" spans="1:8" s="1" customFormat="1" x14ac:dyDescent="0.3"/>
    <row r="30" spans="1:8" s="1" customFormat="1" x14ac:dyDescent="0.3">
      <c r="A30" s="31" t="s">
        <v>35</v>
      </c>
      <c r="B30" s="31"/>
      <c r="C30" s="31"/>
      <c r="D30" s="31"/>
      <c r="E30" s="31"/>
      <c r="F30" s="31"/>
      <c r="G30" s="31"/>
      <c r="H30" s="31"/>
    </row>
    <row r="31" spans="1:8" s="1" customFormat="1" x14ac:dyDescent="0.35">
      <c r="A31" s="13" t="s">
        <v>36</v>
      </c>
      <c r="B31" s="13" t="s">
        <v>37</v>
      </c>
      <c r="C31" s="13" t="s">
        <v>38</v>
      </c>
      <c r="D31" s="13" t="s">
        <v>39</v>
      </c>
      <c r="E31" s="13" t="s">
        <v>40</v>
      </c>
      <c r="F31" s="13" t="s">
        <v>41</v>
      </c>
      <c r="G31" s="13" t="s">
        <v>42</v>
      </c>
      <c r="H31" s="13" t="s">
        <v>43</v>
      </c>
    </row>
    <row r="32" spans="1:8" s="1" customFormat="1" x14ac:dyDescent="0.35">
      <c r="A32" s="14">
        <v>0.6</v>
      </c>
      <c r="B32" s="14">
        <v>0.5</v>
      </c>
      <c r="C32" s="14">
        <v>0.27272727272727298</v>
      </c>
      <c r="D32" s="14">
        <v>0.6</v>
      </c>
      <c r="E32" s="14">
        <v>0.66666666666666696</v>
      </c>
      <c r="F32" s="11">
        <v>0.13289036544850499</v>
      </c>
      <c r="G32" s="14">
        <v>0.63725490196078405</v>
      </c>
      <c r="H32" s="14">
        <v>0.39743589743589802</v>
      </c>
    </row>
    <row r="33" spans="1:8" s="1" customFormat="1" x14ac:dyDescent="0.35">
      <c r="A33" s="14">
        <v>0.28888888888888897</v>
      </c>
      <c r="B33" s="14">
        <v>0.75</v>
      </c>
      <c r="C33" s="14">
        <v>0.72727272727272696</v>
      </c>
      <c r="D33" s="14">
        <v>0.3</v>
      </c>
      <c r="E33" s="14">
        <v>0.46666666666666701</v>
      </c>
      <c r="F33" s="11">
        <v>0.26427061310782202</v>
      </c>
      <c r="G33" s="14">
        <v>0.39215686274509798</v>
      </c>
      <c r="H33" s="14">
        <v>0</v>
      </c>
    </row>
    <row r="34" spans="1:8" s="1" customFormat="1" x14ac:dyDescent="0.35">
      <c r="A34" s="14">
        <v>1</v>
      </c>
      <c r="B34" s="14">
        <v>0.25</v>
      </c>
      <c r="C34" s="14">
        <v>0</v>
      </c>
      <c r="D34" s="14">
        <v>1</v>
      </c>
      <c r="E34" s="14">
        <v>1</v>
      </c>
      <c r="F34" s="11">
        <v>0</v>
      </c>
      <c r="G34" s="14">
        <v>1</v>
      </c>
      <c r="H34" s="14">
        <v>1</v>
      </c>
    </row>
    <row r="35" spans="1:8" s="1" customFormat="1" x14ac:dyDescent="0.35">
      <c r="A35" s="14">
        <v>4.4444444444444398E-2</v>
      </c>
      <c r="B35" s="14">
        <v>1</v>
      </c>
      <c r="C35" s="14">
        <v>1</v>
      </c>
      <c r="D35" s="14">
        <v>0.1</v>
      </c>
      <c r="E35" s="14">
        <v>0.133333333333333</v>
      </c>
      <c r="F35" s="11">
        <v>1</v>
      </c>
      <c r="G35" s="14">
        <v>0.39215686274509798</v>
      </c>
      <c r="H35" s="14">
        <v>0.512820512820513</v>
      </c>
    </row>
    <row r="36" spans="1:8" s="1" customFormat="1" x14ac:dyDescent="0.35">
      <c r="A36" s="14">
        <v>0.44444444444444398</v>
      </c>
      <c r="B36" s="14">
        <v>0</v>
      </c>
      <c r="C36" s="14">
        <v>9.0909090909090898E-2</v>
      </c>
      <c r="D36" s="14">
        <v>0.4</v>
      </c>
      <c r="E36" s="14">
        <v>0.33333333333333298</v>
      </c>
      <c r="F36" s="11">
        <v>0.24623803009575901</v>
      </c>
      <c r="G36" s="14">
        <v>0.58823529411764697</v>
      </c>
      <c r="H36" s="14">
        <v>0.256410256410256</v>
      </c>
    </row>
    <row r="37" spans="1:8" s="1" customFormat="1" x14ac:dyDescent="0.35">
      <c r="A37" s="14">
        <v>0.155555555555556</v>
      </c>
      <c r="B37" s="14">
        <v>0.5</v>
      </c>
      <c r="C37" s="14">
        <v>0.45454545454545497</v>
      </c>
      <c r="D37" s="14">
        <v>0.2</v>
      </c>
      <c r="E37" s="14">
        <v>0.2</v>
      </c>
      <c r="F37" s="11">
        <v>0.37375415282391999</v>
      </c>
      <c r="G37" s="14">
        <v>0.421568627450981</v>
      </c>
      <c r="H37" s="14">
        <v>0.64102564102564097</v>
      </c>
    </row>
    <row r="38" spans="1:8" s="1" customFormat="1" x14ac:dyDescent="0.35">
      <c r="A38" s="14">
        <v>0.82222222222222197</v>
      </c>
      <c r="B38" s="14">
        <v>0.5</v>
      </c>
      <c r="C38" s="14">
        <v>0.18181818181818199</v>
      </c>
      <c r="D38" s="14">
        <v>0.8</v>
      </c>
      <c r="E38" s="14">
        <v>0.86666666666666703</v>
      </c>
      <c r="F38" s="11">
        <v>4.0250447227191399E-2</v>
      </c>
      <c r="G38" s="14">
        <v>0.66666666666666696</v>
      </c>
      <c r="H38" s="14">
        <v>0.80769230769230804</v>
      </c>
    </row>
    <row r="39" spans="1:8" s="1" customFormat="1" x14ac:dyDescent="0.35">
      <c r="A39" s="14">
        <v>0</v>
      </c>
      <c r="B39" s="14">
        <v>0.75</v>
      </c>
      <c r="C39" s="14">
        <v>0.81818181818181801</v>
      </c>
      <c r="D39" s="14">
        <v>0</v>
      </c>
      <c r="E39" s="14">
        <v>0</v>
      </c>
      <c r="F39" s="11">
        <v>0.775193798449612</v>
      </c>
      <c r="G39" s="14">
        <v>0</v>
      </c>
      <c r="H39" s="14">
        <v>0</v>
      </c>
    </row>
    <row r="40" spans="1:8" s="1" customFormat="1" x14ac:dyDescent="0.35">
      <c r="A40" s="14">
        <v>0.51111111111111096</v>
      </c>
      <c r="B40" s="14">
        <v>0.25</v>
      </c>
      <c r="C40" s="14">
        <v>0.36363636363636398</v>
      </c>
      <c r="D40" s="14">
        <v>0.5</v>
      </c>
      <c r="E40" s="14">
        <v>0.53333333333333299</v>
      </c>
      <c r="F40" s="11">
        <v>0.15697674418604701</v>
      </c>
      <c r="G40" s="14">
        <v>0.53921568627451</v>
      </c>
      <c r="H40" s="14">
        <v>0.64102564102564097</v>
      </c>
    </row>
    <row r="41" spans="1:8" s="1" customFormat="1" x14ac:dyDescent="0.35">
      <c r="A41" s="15">
        <v>0.66666666666666696</v>
      </c>
      <c r="B41" s="15">
        <v>0.5</v>
      </c>
      <c r="C41" s="15">
        <v>0.236363636363636</v>
      </c>
      <c r="D41" s="15">
        <v>0.7</v>
      </c>
      <c r="E41" s="15">
        <v>0.73333333333333295</v>
      </c>
      <c r="F41" s="16">
        <v>0.10077519379845</v>
      </c>
      <c r="G41" s="15">
        <v>0.71568627450980404</v>
      </c>
      <c r="H41" s="15">
        <v>0.73076923076923095</v>
      </c>
    </row>
    <row r="45" spans="1:8" x14ac:dyDescent="0.3">
      <c r="A45" s="32" t="s">
        <v>44</v>
      </c>
      <c r="B45" s="32"/>
      <c r="C45" s="32"/>
      <c r="D45" s="32"/>
    </row>
    <row r="46" spans="1:8" ht="15.75" x14ac:dyDescent="0.3">
      <c r="A46" s="17" t="s">
        <v>45</v>
      </c>
      <c r="B46" s="17" t="s">
        <v>46</v>
      </c>
      <c r="C46" s="17" t="s">
        <v>47</v>
      </c>
      <c r="D46" s="17" t="s">
        <v>48</v>
      </c>
    </row>
    <row r="47" spans="1:8" ht="15.75" x14ac:dyDescent="0.3">
      <c r="A47" s="18" t="s">
        <v>36</v>
      </c>
      <c r="B47" s="19">
        <v>10</v>
      </c>
      <c r="C47" s="19">
        <v>0.45300000000000001</v>
      </c>
      <c r="D47" s="19">
        <v>0.33200000000000002</v>
      </c>
    </row>
    <row r="48" spans="1:8" ht="15.75" x14ac:dyDescent="0.3">
      <c r="A48" s="18" t="s">
        <v>37</v>
      </c>
      <c r="B48" s="20">
        <v>10</v>
      </c>
      <c r="C48" s="20">
        <v>0.5</v>
      </c>
      <c r="D48" s="20">
        <v>0.28899999999999998</v>
      </c>
    </row>
    <row r="49" spans="1:5" ht="15.75" x14ac:dyDescent="0.3">
      <c r="A49" s="18" t="s">
        <v>38</v>
      </c>
      <c r="B49" s="20">
        <v>10</v>
      </c>
      <c r="C49" s="20">
        <v>0.41499999999999998</v>
      </c>
      <c r="D49" s="20">
        <v>0.33200000000000002</v>
      </c>
    </row>
    <row r="50" spans="1:5" ht="15.75" x14ac:dyDescent="0.3">
      <c r="A50" s="18" t="s">
        <v>39</v>
      </c>
      <c r="B50" s="20">
        <v>10</v>
      </c>
      <c r="C50" s="20">
        <v>0.46</v>
      </c>
      <c r="D50" s="20">
        <v>0.32</v>
      </c>
    </row>
    <row r="51" spans="1:5" ht="15.75" x14ac:dyDescent="0.3">
      <c r="A51" s="18" t="s">
        <v>40</v>
      </c>
      <c r="B51" s="20">
        <v>10</v>
      </c>
      <c r="C51" s="20">
        <v>0.49299999999999999</v>
      </c>
      <c r="D51" s="20">
        <v>0.32800000000000001</v>
      </c>
    </row>
    <row r="52" spans="1:5" ht="15.75" x14ac:dyDescent="0.3">
      <c r="A52" s="18" t="s">
        <v>41</v>
      </c>
      <c r="B52" s="20">
        <v>10</v>
      </c>
      <c r="C52" s="20">
        <v>0.309</v>
      </c>
      <c r="D52" s="20">
        <v>0.32800000000000001</v>
      </c>
    </row>
    <row r="53" spans="1:5" ht="15.75" x14ac:dyDescent="0.3">
      <c r="A53" s="18" t="s">
        <v>42</v>
      </c>
      <c r="B53" s="20">
        <v>10</v>
      </c>
      <c r="C53" s="20">
        <v>0.53500000000000003</v>
      </c>
      <c r="D53" s="20">
        <v>0.26200000000000001</v>
      </c>
    </row>
    <row r="54" spans="1:5" ht="15.75" x14ac:dyDescent="0.3">
      <c r="A54" s="17" t="s">
        <v>43</v>
      </c>
      <c r="B54" s="21">
        <v>10</v>
      </c>
      <c r="C54" s="21">
        <v>0.499</v>
      </c>
      <c r="D54" s="21">
        <v>0.33500000000000002</v>
      </c>
    </row>
    <row r="58" spans="1:5" ht="15.75" x14ac:dyDescent="0.45">
      <c r="A58" s="33" t="s">
        <v>49</v>
      </c>
      <c r="B58" s="34"/>
      <c r="C58" s="34"/>
      <c r="D58" s="34"/>
      <c r="E58" s="34"/>
    </row>
    <row r="59" spans="1:5" ht="15.75" x14ac:dyDescent="0.3">
      <c r="A59" s="22" t="s">
        <v>45</v>
      </c>
      <c r="B59" s="22" t="s">
        <v>50</v>
      </c>
      <c r="C59" s="22" t="s">
        <v>51</v>
      </c>
      <c r="D59" s="22" t="s">
        <v>52</v>
      </c>
      <c r="E59" s="22" t="s">
        <v>53</v>
      </c>
    </row>
    <row r="60" spans="1:5" ht="15.75" x14ac:dyDescent="0.3">
      <c r="A60" s="18" t="s">
        <v>36</v>
      </c>
      <c r="B60" s="19">
        <v>0.33200000000000002</v>
      </c>
      <c r="C60" s="19">
        <v>5.7430000000000003</v>
      </c>
      <c r="D60" s="19">
        <v>1.909</v>
      </c>
      <c r="E60" s="19" t="s">
        <v>54</v>
      </c>
    </row>
    <row r="61" spans="1:5" ht="15.75" x14ac:dyDescent="0.3">
      <c r="A61" s="18" t="s">
        <v>37</v>
      </c>
      <c r="B61" s="20">
        <v>0.28899999999999998</v>
      </c>
      <c r="C61" s="20">
        <v>7.8739999999999997</v>
      </c>
      <c r="D61" s="20">
        <v>2.2730000000000001</v>
      </c>
      <c r="E61" s="20" t="s">
        <v>55</v>
      </c>
    </row>
    <row r="62" spans="1:5" ht="15.75" x14ac:dyDescent="0.3">
      <c r="A62" s="18" t="s">
        <v>38</v>
      </c>
      <c r="B62" s="20">
        <v>0.33200000000000002</v>
      </c>
      <c r="C62" s="20">
        <v>9.1069999999999993</v>
      </c>
      <c r="D62" s="20">
        <v>3.0209999999999999</v>
      </c>
      <c r="E62" s="20" t="s">
        <v>56</v>
      </c>
    </row>
    <row r="63" spans="1:5" ht="15.75" x14ac:dyDescent="0.3">
      <c r="A63" s="18" t="s">
        <v>39</v>
      </c>
      <c r="B63" s="20">
        <v>0.32</v>
      </c>
      <c r="C63" s="20">
        <v>5.601</v>
      </c>
      <c r="D63" s="20">
        <v>1.7949999999999999</v>
      </c>
      <c r="E63" s="20" t="s">
        <v>57</v>
      </c>
    </row>
    <row r="64" spans="1:5" ht="15.75" x14ac:dyDescent="0.3">
      <c r="A64" s="18" t="s">
        <v>40</v>
      </c>
      <c r="B64" s="20">
        <v>0.32800000000000001</v>
      </c>
      <c r="C64" s="20">
        <v>5.5250000000000004</v>
      </c>
      <c r="D64" s="20">
        <v>1.8140000000000001</v>
      </c>
      <c r="E64" s="20" t="s">
        <v>58</v>
      </c>
    </row>
    <row r="65" spans="1:5" ht="15.75" x14ac:dyDescent="0.3">
      <c r="A65" s="18" t="s">
        <v>41</v>
      </c>
      <c r="B65" s="20">
        <v>0.32800000000000001</v>
      </c>
      <c r="C65" s="20">
        <v>9.2260000000000009</v>
      </c>
      <c r="D65" s="20">
        <v>3.0289999999999999</v>
      </c>
      <c r="E65" s="20" t="s">
        <v>59</v>
      </c>
    </row>
    <row r="66" spans="1:5" ht="15.75" x14ac:dyDescent="0.3">
      <c r="A66" s="18" t="s">
        <v>42</v>
      </c>
      <c r="B66" s="20">
        <v>0.26200000000000001</v>
      </c>
      <c r="C66" s="20">
        <v>5.633</v>
      </c>
      <c r="D66" s="20">
        <v>1.478</v>
      </c>
      <c r="E66" s="20" t="s">
        <v>60</v>
      </c>
    </row>
    <row r="67" spans="1:5" ht="15.75" x14ac:dyDescent="0.3">
      <c r="A67" s="17" t="s">
        <v>43</v>
      </c>
      <c r="B67" s="21">
        <v>0.33500000000000002</v>
      </c>
      <c r="C67" s="21">
        <v>5.5049999999999999</v>
      </c>
      <c r="D67" s="21">
        <v>1.8420000000000001</v>
      </c>
      <c r="E67" s="21" t="s">
        <v>61</v>
      </c>
    </row>
    <row r="93" spans="1:3" x14ac:dyDescent="0.35">
      <c r="A93" s="23"/>
      <c r="B93" s="23"/>
    </row>
    <row r="94" spans="1:3" x14ac:dyDescent="0.35">
      <c r="A94" s="23"/>
      <c r="B94" s="23"/>
    </row>
    <row r="95" spans="1:3" x14ac:dyDescent="0.3">
      <c r="A95" s="4" t="s">
        <v>10</v>
      </c>
      <c r="B95" s="24" t="s">
        <v>62</v>
      </c>
      <c r="C95" s="10" t="s">
        <v>63</v>
      </c>
    </row>
    <row r="96" spans="1:3" x14ac:dyDescent="0.3">
      <c r="A96" s="6" t="s">
        <v>14</v>
      </c>
      <c r="B96" s="25">
        <v>0.43520183725267197</v>
      </c>
      <c r="C96" s="26">
        <f>B96/B100</f>
        <v>1.64752356869756</v>
      </c>
    </row>
    <row r="97" spans="1:10" x14ac:dyDescent="0.3">
      <c r="A97" s="6" t="s">
        <v>15</v>
      </c>
      <c r="B97" s="25">
        <v>0.42063619193469098</v>
      </c>
      <c r="C97" s="26">
        <f>B97/B100</f>
        <v>1.5923830754814701</v>
      </c>
    </row>
    <row r="98" spans="1:10" x14ac:dyDescent="0.3">
      <c r="A98" s="6" t="s">
        <v>16</v>
      </c>
      <c r="B98" s="25">
        <v>0.54809896500662902</v>
      </c>
      <c r="C98" s="26">
        <f>B98/B100</f>
        <v>2.0749130300727301</v>
      </c>
    </row>
    <row r="99" spans="1:10" x14ac:dyDescent="0.3">
      <c r="A99" s="6" t="s">
        <v>17</v>
      </c>
      <c r="B99" s="25">
        <v>0.60333321290449204</v>
      </c>
      <c r="C99" s="26">
        <f>B99/B100</f>
        <v>2.2840107806371002</v>
      </c>
    </row>
    <row r="100" spans="1:10" x14ac:dyDescent="0.3">
      <c r="A100" s="6" t="s">
        <v>18</v>
      </c>
      <c r="B100" s="25">
        <v>0.26415515111369098</v>
      </c>
      <c r="C100" s="26">
        <f>B100/B100</f>
        <v>1</v>
      </c>
    </row>
    <row r="101" spans="1:10" x14ac:dyDescent="0.3">
      <c r="A101" s="6" t="s">
        <v>19</v>
      </c>
      <c r="B101" s="25">
        <v>0.37669674601969799</v>
      </c>
      <c r="C101" s="26">
        <f>B101/B100</f>
        <v>1.4260435370331599</v>
      </c>
    </row>
    <row r="102" spans="1:10" x14ac:dyDescent="0.3">
      <c r="A102" s="6" t="s">
        <v>20</v>
      </c>
      <c r="B102" s="25">
        <v>0.51619163206411101</v>
      </c>
      <c r="C102" s="26">
        <f>B102/B100</f>
        <v>1.9541229080251601</v>
      </c>
    </row>
    <row r="103" spans="1:10" x14ac:dyDescent="0.3">
      <c r="A103" s="6" t="s">
        <v>21</v>
      </c>
      <c r="B103" s="25">
        <v>0.38021147300169</v>
      </c>
      <c r="C103" s="26">
        <f>B103/B100</f>
        <v>1.43934907723245</v>
      </c>
    </row>
    <row r="104" spans="1:10" x14ac:dyDescent="0.3">
      <c r="A104" s="6" t="s">
        <v>22</v>
      </c>
      <c r="B104" s="25">
        <v>0.405604858414502</v>
      </c>
      <c r="C104" s="27">
        <f>B104/B100</f>
        <v>1.5354796478677499</v>
      </c>
    </row>
    <row r="105" spans="1:10" x14ac:dyDescent="0.3">
      <c r="A105" s="7" t="s">
        <v>23</v>
      </c>
      <c r="B105" s="28">
        <v>0.49058686493070203</v>
      </c>
      <c r="C105" s="29">
        <f>B105/B100</f>
        <v>1.8571921193373</v>
      </c>
    </row>
    <row r="107" spans="1:10" ht="13.9" thickBot="1" x14ac:dyDescent="0.35"/>
    <row r="108" spans="1:10" ht="14.25" thickTop="1" thickBot="1" x14ac:dyDescent="0.4">
      <c r="A108" s="4" t="s">
        <v>10</v>
      </c>
      <c r="B108" s="13" t="s">
        <v>36</v>
      </c>
      <c r="C108" s="13" t="s">
        <v>37</v>
      </c>
      <c r="D108" s="13" t="s">
        <v>38</v>
      </c>
      <c r="E108" s="13" t="s">
        <v>39</v>
      </c>
      <c r="F108" s="13" t="s">
        <v>40</v>
      </c>
      <c r="G108" s="13" t="s">
        <v>41</v>
      </c>
      <c r="H108" s="13" t="s">
        <v>42</v>
      </c>
      <c r="I108" s="13" t="s">
        <v>43</v>
      </c>
      <c r="J108" s="10" t="s">
        <v>63</v>
      </c>
    </row>
    <row r="109" spans="1:10" ht="13.9" thickTop="1" x14ac:dyDescent="0.35">
      <c r="A109" s="6" t="s">
        <v>14</v>
      </c>
      <c r="B109" s="14">
        <v>0.6</v>
      </c>
      <c r="C109" s="14">
        <v>0.5</v>
      </c>
      <c r="D109" s="14">
        <v>0.27272727272727298</v>
      </c>
      <c r="E109" s="14">
        <v>0.6</v>
      </c>
      <c r="F109" s="14">
        <v>0.66666666666666696</v>
      </c>
      <c r="G109" s="11">
        <v>0.13289036544850499</v>
      </c>
      <c r="H109" s="14">
        <v>0.63725490196078405</v>
      </c>
      <c r="I109" s="14">
        <v>0.39743589743589802</v>
      </c>
      <c r="J109" s="26">
        <f>I109/I113</f>
        <v>1.5500000000000047</v>
      </c>
    </row>
    <row r="110" spans="1:10" x14ac:dyDescent="0.35">
      <c r="A110" s="6" t="s">
        <v>15</v>
      </c>
      <c r="B110" s="14">
        <v>0.28888888888888897</v>
      </c>
      <c r="C110" s="14">
        <v>0.75</v>
      </c>
      <c r="D110" s="14">
        <v>0.72727272727272696</v>
      </c>
      <c r="E110" s="14">
        <v>0.3</v>
      </c>
      <c r="F110" s="14">
        <v>0.46666666666666701</v>
      </c>
      <c r="G110" s="11">
        <v>0.26427061310782202</v>
      </c>
      <c r="H110" s="14">
        <v>0.39215686274509798</v>
      </c>
      <c r="I110" s="14">
        <v>0</v>
      </c>
      <c r="J110" s="26">
        <f>I110/I113</f>
        <v>0</v>
      </c>
    </row>
    <row r="111" spans="1:10" x14ac:dyDescent="0.35">
      <c r="A111" s="6" t="s">
        <v>16</v>
      </c>
      <c r="B111" s="14">
        <v>1</v>
      </c>
      <c r="C111" s="14">
        <v>0.25</v>
      </c>
      <c r="D111" s="14">
        <v>0</v>
      </c>
      <c r="E111" s="14">
        <v>1</v>
      </c>
      <c r="F111" s="14">
        <v>1</v>
      </c>
      <c r="G111" s="11">
        <v>0</v>
      </c>
      <c r="H111" s="14">
        <v>1</v>
      </c>
      <c r="I111" s="14">
        <v>1</v>
      </c>
      <c r="J111" s="26">
        <f>I111/I113</f>
        <v>3.9000000000000061</v>
      </c>
    </row>
    <row r="112" spans="1:10" x14ac:dyDescent="0.35">
      <c r="A112" s="6" t="s">
        <v>17</v>
      </c>
      <c r="B112" s="14">
        <v>4.4444444444444398E-2</v>
      </c>
      <c r="C112" s="14">
        <v>1</v>
      </c>
      <c r="D112" s="14">
        <v>1</v>
      </c>
      <c r="E112" s="14">
        <v>0.1</v>
      </c>
      <c r="F112" s="14">
        <v>0.133333333333333</v>
      </c>
      <c r="G112" s="11">
        <v>1</v>
      </c>
      <c r="H112" s="14">
        <v>0.39215686274509798</v>
      </c>
      <c r="I112" s="14">
        <v>0.512820512820513</v>
      </c>
      <c r="J112" s="26">
        <f>I112/I113</f>
        <v>2.000000000000004</v>
      </c>
    </row>
    <row r="113" spans="1:10" x14ac:dyDescent="0.35">
      <c r="A113" s="6" t="s">
        <v>18</v>
      </c>
      <c r="B113" s="14">
        <v>0.44444444444444398</v>
      </c>
      <c r="C113" s="14">
        <v>0</v>
      </c>
      <c r="D113" s="14">
        <v>9.0909090909090898E-2</v>
      </c>
      <c r="E113" s="14">
        <v>0.4</v>
      </c>
      <c r="F113" s="14">
        <v>0.33333333333333298</v>
      </c>
      <c r="G113" s="11">
        <v>0.24623803009575901</v>
      </c>
      <c r="H113" s="14">
        <v>0.58823529411764697</v>
      </c>
      <c r="I113" s="14">
        <v>0.256410256410256</v>
      </c>
      <c r="J113" s="26">
        <f>I113/I113</f>
        <v>1</v>
      </c>
    </row>
    <row r="114" spans="1:10" x14ac:dyDescent="0.35">
      <c r="A114" s="6" t="s">
        <v>19</v>
      </c>
      <c r="B114" s="14">
        <v>0.155555555555556</v>
      </c>
      <c r="C114" s="14">
        <v>0.5</v>
      </c>
      <c r="D114" s="14">
        <v>0.45454545454545497</v>
      </c>
      <c r="E114" s="14">
        <v>0.2</v>
      </c>
      <c r="F114" s="14">
        <v>0.2</v>
      </c>
      <c r="G114" s="11">
        <v>0.37375415282391999</v>
      </c>
      <c r="H114" s="14">
        <v>0.421568627450981</v>
      </c>
      <c r="I114" s="14">
        <v>0.64102564102564097</v>
      </c>
      <c r="J114" s="26">
        <f>I114/I113</f>
        <v>2.500000000000004</v>
      </c>
    </row>
    <row r="115" spans="1:10" x14ac:dyDescent="0.35">
      <c r="A115" s="6" t="s">
        <v>20</v>
      </c>
      <c r="B115" s="14">
        <v>0.82222222222222197</v>
      </c>
      <c r="C115" s="14">
        <v>0.5</v>
      </c>
      <c r="D115" s="14">
        <v>0.18181818181818199</v>
      </c>
      <c r="E115" s="14">
        <v>0.8</v>
      </c>
      <c r="F115" s="14">
        <v>0.86666666666666703</v>
      </c>
      <c r="G115" s="11">
        <v>4.0250447227191399E-2</v>
      </c>
      <c r="H115" s="14">
        <v>0.66666666666666696</v>
      </c>
      <c r="I115" s="14">
        <v>0.80769230769230804</v>
      </c>
      <c r="J115" s="26">
        <f>I115/I113</f>
        <v>3.1500000000000066</v>
      </c>
    </row>
    <row r="116" spans="1:10" x14ac:dyDescent="0.35">
      <c r="A116" s="6" t="s">
        <v>21</v>
      </c>
      <c r="B116" s="14">
        <v>0</v>
      </c>
      <c r="C116" s="14">
        <v>0.75</v>
      </c>
      <c r="D116" s="14">
        <v>0.81818181818181801</v>
      </c>
      <c r="E116" s="14">
        <v>0</v>
      </c>
      <c r="F116" s="14">
        <v>0</v>
      </c>
      <c r="G116" s="11">
        <v>0.775193798449612</v>
      </c>
      <c r="H116" s="14">
        <v>0</v>
      </c>
      <c r="I116" s="14">
        <v>0</v>
      </c>
      <c r="J116" s="26">
        <f>I116/I113</f>
        <v>0</v>
      </c>
    </row>
    <row r="117" spans="1:10" x14ac:dyDescent="0.35">
      <c r="A117" s="6" t="s">
        <v>22</v>
      </c>
      <c r="B117" s="14">
        <v>0.51111111111111096</v>
      </c>
      <c r="C117" s="14">
        <v>0.25</v>
      </c>
      <c r="D117" s="14">
        <v>0.36363636363636398</v>
      </c>
      <c r="E117" s="14">
        <v>0.5</v>
      </c>
      <c r="F117" s="14">
        <v>0.53333333333333299</v>
      </c>
      <c r="G117" s="11">
        <v>0.15697674418604701</v>
      </c>
      <c r="H117" s="14">
        <v>0.53921568627451</v>
      </c>
      <c r="I117" s="14">
        <v>0.64102564102564097</v>
      </c>
      <c r="J117" s="27">
        <f>I117/I113</f>
        <v>2.500000000000004</v>
      </c>
    </row>
    <row r="118" spans="1:10" ht="13.9" thickBot="1" x14ac:dyDescent="0.4">
      <c r="A118" s="7" t="s">
        <v>23</v>
      </c>
      <c r="B118" s="15">
        <v>0.66666666666666696</v>
      </c>
      <c r="C118" s="15">
        <v>0.5</v>
      </c>
      <c r="D118" s="15">
        <v>0.236363636363636</v>
      </c>
      <c r="E118" s="15">
        <v>0.7</v>
      </c>
      <c r="F118" s="15">
        <v>0.73333333333333295</v>
      </c>
      <c r="G118" s="16">
        <v>0.10077519379845</v>
      </c>
      <c r="H118" s="15">
        <v>0.71568627450980404</v>
      </c>
      <c r="I118" s="15">
        <v>0.73076923076923095</v>
      </c>
      <c r="J118" s="29">
        <f>I118/I113</f>
        <v>2.8500000000000054</v>
      </c>
    </row>
    <row r="119" spans="1:10" ht="13.9" thickTop="1" x14ac:dyDescent="0.3"/>
  </sheetData>
  <mergeCells count="4">
    <mergeCell ref="A1:I1"/>
    <mergeCell ref="A30:H30"/>
    <mergeCell ref="A45:D45"/>
    <mergeCell ref="A58:E58"/>
  </mergeCells>
  <phoneticPr fontId="7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activeCell="C23" sqref="C23"/>
    </sheetView>
  </sheetViews>
  <sheetFormatPr defaultColWidth="9" defaultRowHeight="13.5" x14ac:dyDescent="0.3"/>
  <cols>
    <col min="1" max="1" width="13.3984375" customWidth="1"/>
    <col min="2" max="2" width="19.9296875" customWidth="1"/>
    <col min="3" max="3" width="29.6640625" customWidth="1"/>
    <col min="4" max="5" width="30.73046875" customWidth="1"/>
    <col min="6" max="7" width="13.3984375" customWidth="1"/>
  </cols>
  <sheetData>
    <row r="1" spans="1:7" x14ac:dyDescent="0.3">
      <c r="A1" s="1" t="s">
        <v>10</v>
      </c>
      <c r="B1" s="1" t="s">
        <v>64</v>
      </c>
      <c r="C1" s="1" t="s">
        <v>65</v>
      </c>
      <c r="D1" s="1" t="s">
        <v>66</v>
      </c>
      <c r="E1" s="1" t="s">
        <v>67</v>
      </c>
      <c r="F1" t="s">
        <v>68</v>
      </c>
      <c r="G1" t="s">
        <v>69</v>
      </c>
    </row>
    <row r="2" spans="1:7" x14ac:dyDescent="0.3">
      <c r="A2" s="1" t="s">
        <v>70</v>
      </c>
      <c r="B2" s="1"/>
      <c r="C2" s="1"/>
      <c r="D2" s="1">
        <v>15</v>
      </c>
      <c r="E2" s="1"/>
      <c r="F2">
        <v>0.8</v>
      </c>
      <c r="G2">
        <v>2</v>
      </c>
    </row>
    <row r="3" spans="1:7" x14ac:dyDescent="0.3">
      <c r="A3" s="1" t="s">
        <v>14</v>
      </c>
      <c r="B3" s="1">
        <v>2</v>
      </c>
      <c r="C3" s="1">
        <v>5</v>
      </c>
      <c r="D3" s="1">
        <v>8</v>
      </c>
      <c r="E3" s="1">
        <v>0.4</v>
      </c>
    </row>
    <row r="4" spans="1:7" x14ac:dyDescent="0.3">
      <c r="A4" s="1" t="s">
        <v>15</v>
      </c>
      <c r="B4" s="1">
        <v>1.5</v>
      </c>
      <c r="C4" s="1">
        <v>4</v>
      </c>
      <c r="D4" s="1">
        <v>7</v>
      </c>
      <c r="E4" s="1">
        <v>0.5</v>
      </c>
    </row>
    <row r="5" spans="1:7" x14ac:dyDescent="0.3">
      <c r="A5" s="1" t="s">
        <v>16</v>
      </c>
      <c r="B5" s="1">
        <v>3</v>
      </c>
      <c r="C5" s="1">
        <v>6</v>
      </c>
      <c r="D5" s="1">
        <v>10</v>
      </c>
      <c r="E5" s="1">
        <v>0.4</v>
      </c>
    </row>
    <row r="6" spans="1:7" x14ac:dyDescent="0.3">
      <c r="A6" s="1" t="s">
        <v>17</v>
      </c>
      <c r="B6" s="1">
        <v>1</v>
      </c>
      <c r="C6" s="1">
        <v>3</v>
      </c>
      <c r="D6" s="1">
        <v>5</v>
      </c>
      <c r="E6" s="1">
        <v>0.5</v>
      </c>
    </row>
    <row r="7" spans="1:7" x14ac:dyDescent="0.3">
      <c r="A7" s="1" t="s">
        <v>18</v>
      </c>
      <c r="B7" s="1">
        <v>2.5</v>
      </c>
      <c r="C7" s="1">
        <v>5.5</v>
      </c>
      <c r="D7" s="1">
        <v>9</v>
      </c>
      <c r="E7" s="1">
        <v>0.4</v>
      </c>
    </row>
    <row r="8" spans="1:7" x14ac:dyDescent="0.3">
      <c r="A8" s="1" t="s">
        <v>19</v>
      </c>
      <c r="B8" s="1">
        <v>1.8</v>
      </c>
      <c r="C8" s="1">
        <v>4.5</v>
      </c>
      <c r="D8" s="1">
        <v>7.5</v>
      </c>
      <c r="E8" s="1">
        <v>0.5</v>
      </c>
    </row>
    <row r="9" spans="1:7" x14ac:dyDescent="0.3">
      <c r="A9" s="1" t="s">
        <v>20</v>
      </c>
      <c r="B9" s="1">
        <v>2.2000000000000002</v>
      </c>
      <c r="C9" s="1">
        <v>5.2</v>
      </c>
      <c r="D9" s="1">
        <v>8.5</v>
      </c>
      <c r="E9" s="1">
        <v>0.4</v>
      </c>
    </row>
    <row r="10" spans="1:7" x14ac:dyDescent="0.3">
      <c r="A10" s="1" t="s">
        <v>21</v>
      </c>
      <c r="B10" s="1">
        <v>1.2</v>
      </c>
      <c r="C10" s="1">
        <v>3.5</v>
      </c>
      <c r="D10" s="1">
        <v>6</v>
      </c>
      <c r="E10" s="1">
        <v>0.5</v>
      </c>
    </row>
    <row r="11" spans="1:7" x14ac:dyDescent="0.3">
      <c r="A11" s="1" t="s">
        <v>22</v>
      </c>
      <c r="B11" s="1">
        <v>2.8</v>
      </c>
      <c r="C11" s="1">
        <v>6.2</v>
      </c>
      <c r="D11" s="1">
        <v>9.5</v>
      </c>
      <c r="E11" s="1">
        <v>0.4</v>
      </c>
    </row>
    <row r="12" spans="1:7" x14ac:dyDescent="0.3">
      <c r="A12" s="1" t="s">
        <v>23</v>
      </c>
      <c r="B12" s="1">
        <v>2.2999999999999998</v>
      </c>
      <c r="C12" s="1">
        <v>5.3</v>
      </c>
      <c r="D12" s="1">
        <v>8.3000000000000007</v>
      </c>
      <c r="E12" s="1">
        <v>0.4</v>
      </c>
    </row>
    <row r="14" spans="1:7" x14ac:dyDescent="0.3">
      <c r="A14" s="1" t="s">
        <v>71</v>
      </c>
      <c r="B14" s="1" t="s">
        <v>72</v>
      </c>
      <c r="C14" s="1" t="s">
        <v>73</v>
      </c>
      <c r="D14" s="1" t="s">
        <v>74</v>
      </c>
    </row>
    <row r="15" spans="1:7" x14ac:dyDescent="0.3">
      <c r="A15" s="1" t="s">
        <v>3</v>
      </c>
      <c r="B15" s="2">
        <v>800</v>
      </c>
      <c r="C15" s="2">
        <v>15000</v>
      </c>
      <c r="D15" s="2">
        <f>(B15+C15)/2</f>
        <v>7900</v>
      </c>
    </row>
    <row r="16" spans="1:7" x14ac:dyDescent="0.3">
      <c r="A16" s="1" t="s">
        <v>75</v>
      </c>
      <c r="B16" s="2">
        <v>300</v>
      </c>
      <c r="C16" s="2">
        <v>6000</v>
      </c>
      <c r="D16" s="2">
        <f>(B16+C16)/2</f>
        <v>3150</v>
      </c>
    </row>
    <row r="17" spans="4:4" x14ac:dyDescent="0.3">
      <c r="D17" s="3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直升机，船只的参数设置</vt:lpstr>
      <vt:lpstr>各岛屿和安全集散中心的地理位置</vt:lpstr>
      <vt:lpstr>各岛屿人员设置</vt:lpstr>
      <vt:lpstr>需求紧迫度用SPSSAU计算数据与过程</vt:lpstr>
      <vt:lpstr>时间满意度需要的数据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龙昊 韦</cp:lastModifiedBy>
  <dcterms:created xsi:type="dcterms:W3CDTF">2025-05-14T09:03:15Z</dcterms:created>
  <dcterms:modified xsi:type="dcterms:W3CDTF">2025-05-16T10:48:55Z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BFD8D60316BB4B688E306F4055DF4D9E_11</vt:lpwstr>
  </property>
  <property fmtid="{D5CDD505-2E9C-101B-9397-08002B2CF9AE}" pid="3" name="KSOProductBuildVer">
    <vt:lpwstr>2052-12.1.0.20305</vt:lpwstr>
  </property>
</Properties>
</file>